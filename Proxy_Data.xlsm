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slicers/slicer1.xml" ContentType="application/vnd.ms-excel.slicer+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defaultThemeVersion="202300"/>
  <mc:AlternateContent xmlns:mc="http://schemas.openxmlformats.org/markup-compatibility/2006">
    <mc:Choice Requires="x15">
      <x15ac:absPath xmlns:x15ac="http://schemas.microsoft.com/office/spreadsheetml/2010/11/ac" url="C:\Users\becke\OneDrive\Desktop\Portfolio\Word-Scraper\"/>
    </mc:Choice>
  </mc:AlternateContent>
  <xr:revisionPtr revIDLastSave="0" documentId="13_ncr:1_{C64DB3B2-24BD-4668-BBDF-0B900BADA8D5}" xr6:coauthVersionLast="47" xr6:coauthVersionMax="47" xr10:uidLastSave="{00000000-0000-0000-0000-000000000000}"/>
  <bookViews>
    <workbookView xWindow="-108" yWindow="-108" windowWidth="23256" windowHeight="12576" xr2:uid="{E8312334-0CA0-4DC7-8797-53E1B8C00642}"/>
  </bookViews>
  <sheets>
    <sheet name="Proxy_Data" sheetId="4" r:id="rId1"/>
  </sheets>
  <definedNames>
    <definedName name="ExternalData_1" localSheetId="0" hidden="1">Proxy_Data!$B$4:$G$52</definedName>
    <definedName name="Slicer_Document">#N/A</definedName>
    <definedName name="Slicer_Exercise">#N/A</definedName>
    <definedName name="Slicer_Paragraph_Type">#N/A</definedName>
    <definedName name="Slicer_Topic">#N/A</definedName>
  </definedNames>
  <calcPr calcId="191029"/>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2"/>
        <x14:slicerCache r:id="rId3"/>
        <x14:slicerCache r:id="rId4"/>
        <x14:slicerCache r:id="rId5"/>
      </x15:slicerCaches>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53" i="4" l="1"/>
  <c r="N4" i="4" s="1"/>
  <c r="H5" i="4"/>
  <c r="H6" i="4"/>
  <c r="H7" i="4"/>
  <c r="H8" i="4"/>
  <c r="H9" i="4"/>
  <c r="H10" i="4"/>
  <c r="H11" i="4"/>
  <c r="H12" i="4"/>
  <c r="H13" i="4"/>
  <c r="H14" i="4"/>
  <c r="H15" i="4"/>
  <c r="H16" i="4"/>
  <c r="H17" i="4"/>
  <c r="H18" i="4"/>
  <c r="H19" i="4"/>
  <c r="H20" i="4"/>
  <c r="H21" i="4"/>
  <c r="H22" i="4"/>
  <c r="H23" i="4"/>
  <c r="H24" i="4"/>
  <c r="H25" i="4"/>
  <c r="H26" i="4"/>
  <c r="H27" i="4"/>
  <c r="H28" i="4"/>
  <c r="H29" i="4"/>
  <c r="H30" i="4"/>
  <c r="H31" i="4"/>
  <c r="H32" i="4"/>
  <c r="H33" i="4"/>
  <c r="H34" i="4"/>
  <c r="H35" i="4"/>
  <c r="H36" i="4"/>
  <c r="H37" i="4"/>
  <c r="H38" i="4"/>
  <c r="H39" i="4"/>
  <c r="H40" i="4"/>
  <c r="H41" i="4"/>
  <c r="H42" i="4"/>
  <c r="H43" i="4"/>
  <c r="H44" i="4"/>
  <c r="H45" i="4"/>
  <c r="H46" i="4"/>
  <c r="H47" i="4"/>
  <c r="H48" i="4"/>
  <c r="H49" i="4"/>
  <c r="H50" i="4"/>
  <c r="H51" i="4"/>
  <c r="H52" i="4"/>
  <c r="I5" i="4"/>
  <c r="I6" i="4"/>
  <c r="I7" i="4"/>
  <c r="I8" i="4"/>
  <c r="I9" i="4"/>
  <c r="I10" i="4"/>
  <c r="I11" i="4"/>
  <c r="I12" i="4"/>
  <c r="I13" i="4"/>
  <c r="I14" i="4"/>
  <c r="I15" i="4"/>
  <c r="I16" i="4"/>
  <c r="I17" i="4"/>
  <c r="I18" i="4"/>
  <c r="I19" i="4"/>
  <c r="I20" i="4"/>
  <c r="I21" i="4"/>
  <c r="I22" i="4"/>
  <c r="I23" i="4"/>
  <c r="I24" i="4"/>
  <c r="I25" i="4"/>
  <c r="I26" i="4"/>
  <c r="I27" i="4"/>
  <c r="I28" i="4"/>
  <c r="I29" i="4"/>
  <c r="I30" i="4"/>
  <c r="I31" i="4"/>
  <c r="I32" i="4"/>
  <c r="I33" i="4"/>
  <c r="I34" i="4"/>
  <c r="I35" i="4"/>
  <c r="I36" i="4"/>
  <c r="I37" i="4"/>
  <c r="I38" i="4"/>
  <c r="I39" i="4"/>
  <c r="I40" i="4"/>
  <c r="I41" i="4"/>
  <c r="I42" i="4"/>
  <c r="I43" i="4"/>
  <c r="I44" i="4"/>
  <c r="I45" i="4"/>
  <c r="I46" i="4"/>
  <c r="I47" i="4"/>
  <c r="I48" i="4"/>
  <c r="I49" i="4"/>
  <c r="I50" i="4"/>
  <c r="I51" i="4"/>
  <c r="I52" i="4"/>
  <c r="N3" i="4" l="1"/>
  <c r="I53" i="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C837F07F-59CB-440A-AB73-34334E8CF0E4}" keepAlive="1" name="Query - Proxy_Data" description="Connection to the 'Proxy_Data' query in the workbook." type="5" refreshedVersion="8" background="1" saveData="1">
    <dbPr connection="Provider=Microsoft.Mashup.OleDb.1;Data Source=$Workbook$;Location=Proxy_Data;Extended Properties=&quot;&quot;" command="SELECT * FROM [Proxy_Data]"/>
  </connection>
</connections>
</file>

<file path=xl/sharedStrings.xml><?xml version="1.0" encoding="utf-8"?>
<sst xmlns="http://schemas.openxmlformats.org/spreadsheetml/2006/main" count="254" uniqueCount="41">
  <si>
    <t>Document</t>
  </si>
  <si>
    <t>Paragraph</t>
  </si>
  <si>
    <t>(U) PROXY DATA WORD FORMAT vAB2</t>
  </si>
  <si>
    <t>Recommendation: The Assessment Report should be sent as SharePoint link for work by multiple individuals.  The assessment report, while text dense, should offer a filterable table of the Sub topics, Discussions, Recommendation, and Results.</t>
  </si>
  <si>
    <t>Result: Immediate</t>
  </si>
  <si>
    <t>Result: Commander’s Assessment Program</t>
  </si>
  <si>
    <t>Topic</t>
  </si>
  <si>
    <t>Discussion</t>
  </si>
  <si>
    <t>Recommendation</t>
  </si>
  <si>
    <t>Result</t>
  </si>
  <si>
    <t>Paragraph Type</t>
  </si>
  <si>
    <t>Topic: FIRST SUB TOPIC.  NUMBERING MAY BE INCONSITENT.</t>
  </si>
  <si>
    <t>Discussion: The numbering of the subtopics from 01 and on may be inconsistent because they are added by individuals and then emailed to a central person for aggregation.</t>
  </si>
  <si>
    <t>Topic: SECOND SUB TOPIC. BURIED INFORMATION.</t>
  </si>
  <si>
    <t>Discussion: Information entered into Word or PowerPoint is extremely difficult to extract.  Structured data, like that found in Excel tables, is much easier to Extract, Transform, and Load (ETL).  ETL is necessary to use advanced tools like Data Modeling, Pivot Tables, and Slicers.</t>
  </si>
  <si>
    <t>Recommendation: To the maximum extent possible, information should be entered in Excel in structured table format.</t>
  </si>
  <si>
    <t>Topic: TRAINING</t>
  </si>
  <si>
    <t>Discussion: In general, computer skills are weak or outdated.</t>
  </si>
  <si>
    <t>Recommendation: Demonstrate the advantages of advanced software tools like Excel Power Query and Power Pivot to general users.</t>
  </si>
  <si>
    <t>Topic: FRICTION</t>
  </si>
  <si>
    <t>Discussion: While very experienced, most employees have been trained to function according to principles of military hierarchy.  However, the modern battlefield rewards speed and agility over fixed processes or rigid structures.</t>
  </si>
  <si>
    <t>Recommendation: Discuss the pros and cons of speed vs. structure.</t>
  </si>
  <si>
    <t>Word Search</t>
  </si>
  <si>
    <t>Index</t>
  </si>
  <si>
    <t>Proxy Data 2</t>
  </si>
  <si>
    <t>Proxy Data 3</t>
  </si>
  <si>
    <t>Total</t>
  </si>
  <si>
    <t>FIRST SUB TOPIC.  NUMBERING MAY BE INCONSITENT.</t>
  </si>
  <si>
    <t>SECOND SUB TOPIC. BURIED INFORMATION.</t>
  </si>
  <si>
    <t>TRAINING</t>
  </si>
  <si>
    <t>FRICTION</t>
  </si>
  <si>
    <t xml:space="preserve"> </t>
  </si>
  <si>
    <t>Exercise</t>
  </si>
  <si>
    <t>23-1</t>
  </si>
  <si>
    <t>24-1</t>
  </si>
  <si>
    <t>25-1</t>
  </si>
  <si>
    <t>Topic Search</t>
  </si>
  <si>
    <t xml:space="preserve">Topic Search: </t>
  </si>
  <si>
    <t xml:space="preserve">Word Search: </t>
  </si>
  <si>
    <t xml:space="preserve">   Percent of Total: </t>
  </si>
  <si>
    <t xml:space="preserve">Cell Search Count: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</si>
</sst>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Aptos Narrow"/>
      <family val="2"/>
      <scheme val="minor"/>
    </font>
    <font>
      <sz val="11"/>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1"/>
      <color rgb="FF006100"/>
      <name val="Aptos Narrow"/>
      <family val="2"/>
      <scheme val="minor"/>
    </font>
    <font>
      <sz val="11"/>
      <color rgb="FF9C0006"/>
      <name val="Aptos Narrow"/>
      <family val="2"/>
      <scheme val="minor"/>
    </font>
    <font>
      <sz val="11"/>
      <color rgb="FF9C5700"/>
      <name val="Aptos Narrow"/>
      <family val="2"/>
      <scheme val="minor"/>
    </font>
    <font>
      <sz val="11"/>
      <color rgb="FF3F3F76"/>
      <name val="Aptos Narrow"/>
      <family val="2"/>
      <scheme val="minor"/>
    </font>
    <font>
      <b/>
      <sz val="11"/>
      <color rgb="FF3F3F3F"/>
      <name val="Aptos Narrow"/>
      <family val="2"/>
      <scheme val="minor"/>
    </font>
    <font>
      <b/>
      <sz val="11"/>
      <color rgb="FFFA7D00"/>
      <name val="Aptos Narrow"/>
      <family val="2"/>
      <scheme val="minor"/>
    </font>
    <font>
      <sz val="11"/>
      <color rgb="FFFA7D00"/>
      <name val="Aptos Narrow"/>
      <family val="2"/>
      <scheme val="minor"/>
    </font>
    <font>
      <b/>
      <sz val="11"/>
      <color theme="0"/>
      <name val="Aptos Narrow"/>
      <family val="2"/>
      <scheme val="minor"/>
    </font>
    <font>
      <sz val="11"/>
      <color rgb="FFFF0000"/>
      <name val="Aptos Narrow"/>
      <family val="2"/>
      <scheme val="minor"/>
    </font>
    <font>
      <i/>
      <sz val="11"/>
      <color rgb="FF7F7F7F"/>
      <name val="Aptos Narrow"/>
      <family val="2"/>
      <scheme val="minor"/>
    </font>
    <font>
      <b/>
      <sz val="11"/>
      <color theme="1"/>
      <name val="Aptos Narrow"/>
      <family val="2"/>
      <scheme val="minor"/>
    </font>
    <font>
      <sz val="11"/>
      <color theme="0"/>
      <name val="Aptos Narrow"/>
      <family val="2"/>
      <scheme val="minor"/>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1" tint="0.499984740745262"/>
        <bgColor indexed="64"/>
      </patternFill>
    </fill>
    <fill>
      <patternFill patternType="solid">
        <fgColor theme="0" tint="-0.499984740745262"/>
        <bgColor indexed="64"/>
      </patternFill>
    </fill>
    <fill>
      <patternFill patternType="solid">
        <fgColor theme="4"/>
        <bgColor indexed="64"/>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9" fontId="1" fillId="0" borderId="0" applyFont="0" applyFill="0" applyBorder="0" applyAlignment="0" applyProtection="0"/>
  </cellStyleXfs>
  <cellXfs count="16">
    <xf numFmtId="0" fontId="0" fillId="0" borderId="0" xfId="0"/>
    <xf numFmtId="0" fontId="0" fillId="33" borderId="0" xfId="0" applyFill="1"/>
    <xf numFmtId="0" fontId="0" fillId="33" borderId="0" xfId="0" applyFill="1" applyAlignment="1">
      <alignment wrapText="1"/>
    </xf>
    <xf numFmtId="0" fontId="0" fillId="34" borderId="0" xfId="0" applyFill="1"/>
    <xf numFmtId="0" fontId="0" fillId="0" borderId="0" xfId="0" applyAlignment="1">
      <alignment vertical="top"/>
    </xf>
    <xf numFmtId="0" fontId="0" fillId="0" borderId="0" xfId="0" applyAlignment="1">
      <alignment vertical="top" wrapText="1"/>
    </xf>
    <xf numFmtId="0" fontId="0" fillId="35" borderId="0" xfId="0" applyFill="1" applyAlignment="1">
      <alignment vertical="top" wrapText="1"/>
    </xf>
    <xf numFmtId="0" fontId="0" fillId="0" borderId="0" xfId="0" applyNumberFormat="1" applyAlignment="1">
      <alignment vertical="top" wrapText="1"/>
    </xf>
    <xf numFmtId="0" fontId="0" fillId="0" borderId="0" xfId="0" applyNumberFormat="1" applyAlignment="1">
      <alignment vertical="top"/>
    </xf>
    <xf numFmtId="0" fontId="0" fillId="0" borderId="10" xfId="0" applyBorder="1"/>
    <xf numFmtId="0" fontId="0" fillId="0" borderId="0" xfId="0" applyFill="1"/>
    <xf numFmtId="0" fontId="0" fillId="35" borderId="0" xfId="0" applyFill="1" applyAlignment="1">
      <alignment vertical="top"/>
    </xf>
    <xf numFmtId="0" fontId="0" fillId="33" borderId="0" xfId="0" applyFill="1" applyAlignment="1">
      <alignment horizontal="right"/>
    </xf>
    <xf numFmtId="0" fontId="0" fillId="34" borderId="0" xfId="0" applyFill="1" applyAlignment="1">
      <alignment horizontal="right"/>
    </xf>
    <xf numFmtId="1" fontId="0" fillId="0" borderId="10" xfId="42" applyNumberFormat="1" applyFont="1" applyFill="1" applyBorder="1" applyAlignment="1">
      <alignment horizontal="center"/>
    </xf>
    <xf numFmtId="9" fontId="0" fillId="0" borderId="10" xfId="42" applyFont="1" applyFill="1" applyBorder="1" applyAlignment="1">
      <alignment horizontal="center"/>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12">
    <dxf>
      <alignment horizontal="general" vertical="top" textRotation="0" wrapText="1" indent="0" justifyLastLine="0" shrinkToFit="0" readingOrder="0"/>
    </dxf>
    <dxf>
      <alignment horizontal="general" vertical="top" textRotation="0" wrapText="0" indent="0" justifyLastLine="0" shrinkToFit="0" readingOrder="0"/>
    </dxf>
    <dxf>
      <alignment horizontal="general" vertical="top" textRotation="0" wrapText="1"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1" indent="0" justifyLastLine="0" shrinkToFit="0" readingOrder="0"/>
    </dxf>
    <dxf>
      <fill>
        <patternFill patternType="none">
          <fgColor indexed="64"/>
          <bgColor indexed="65"/>
        </patternFill>
      </fill>
    </dxf>
    <dxf>
      <fill>
        <patternFill patternType="none">
          <fgColor indexed="64"/>
          <bgColor indexed="65"/>
        </patternFill>
      </fill>
    </dxf>
    <dxf>
      <alignment horizontal="general" vertical="top" textRotation="0" wrapText="1" indent="0" justifyLastLine="0" shrinkToFit="0" readingOrder="0"/>
    </dxf>
    <dxf>
      <numFmt numFmtId="0" formatCode="General"/>
      <fill>
        <patternFill patternType="none">
          <fgColor indexed="64"/>
          <bgColor auto="1"/>
        </patternFill>
      </fill>
    </dxf>
    <dxf>
      <fill>
        <patternFill patternType="solid">
          <fgColor indexed="64"/>
          <bgColor theme="1" tint="0.499984740745262"/>
        </patternFill>
      </fill>
    </dxf>
    <dxf>
      <fill>
        <patternFill patternType="solid">
          <fgColor indexed="64"/>
          <bgColor theme="1" tint="0.49998474074526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microsoft.com/office/2007/relationships/slicerCache" Target="slicerCaches/slicerCache2.xml"/><Relationship Id="rId7" Type="http://schemas.openxmlformats.org/officeDocument/2006/relationships/connections" Target="connections.xml"/><Relationship Id="rId12" Type="http://schemas.microsoft.com/office/2006/relationships/vbaProject" Target="vbaProject.bin"/><Relationship Id="rId2" Type="http://schemas.microsoft.com/office/2007/relationships/slicerCache" Target="slicerCaches/slicerCache1.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1.xml"/><Relationship Id="rId5" Type="http://schemas.microsoft.com/office/2007/relationships/slicerCache" Target="slicerCaches/slicerCache4.xml"/><Relationship Id="rId10" Type="http://schemas.openxmlformats.org/officeDocument/2006/relationships/calcChain" Target="calcChain.xml"/><Relationship Id="rId4" Type="http://schemas.microsoft.com/office/2007/relationships/slicerCache" Target="slicerCaches/slicerCache3.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editAs="absolute">
    <xdr:from>
      <xdr:col>11</xdr:col>
      <xdr:colOff>1379220</xdr:colOff>
      <xdr:row>15</xdr:row>
      <xdr:rowOff>123100</xdr:rowOff>
    </xdr:from>
    <xdr:to>
      <xdr:col>12</xdr:col>
      <xdr:colOff>1015093</xdr:colOff>
      <xdr:row>25</xdr:row>
      <xdr:rowOff>482328</xdr:rowOff>
    </xdr:to>
    <mc:AlternateContent xmlns:mc="http://schemas.openxmlformats.org/markup-compatibility/2006">
      <mc:Choice xmlns:sle15="http://schemas.microsoft.com/office/drawing/2012/slicer" Requires="sle15">
        <xdr:graphicFrame macro="">
          <xdr:nvGraphicFramePr>
            <xdr:cNvPr id="6" name="Paragraph Type">
              <a:extLst>
                <a:ext uri="{FF2B5EF4-FFF2-40B4-BE49-F238E27FC236}">
                  <a16:creationId xmlns:a16="http://schemas.microsoft.com/office/drawing/2014/main" id="{C7DED7E5-3097-6963-7320-8E559BA61EB8}"/>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Paragraph Type"/>
            </a:graphicData>
          </a:graphic>
        </xdr:graphicFrame>
      </mc:Choice>
      <mc:Fallback>
        <xdr:sp macro="" textlink="">
          <xdr:nvSpPr>
            <xdr:cNvPr id="0" name=""/>
            <xdr:cNvSpPr>
              <a:spLocks noTextEdit="1"/>
            </xdr:cNvSpPr>
          </xdr:nvSpPr>
          <xdr:spPr>
            <a:xfrm>
              <a:off x="15334706" y="4716871"/>
              <a:ext cx="2183130" cy="36576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9</xdr:col>
      <xdr:colOff>664412</xdr:colOff>
      <xdr:row>5</xdr:row>
      <xdr:rowOff>0</xdr:rowOff>
    </xdr:from>
    <xdr:to>
      <xdr:col>11</xdr:col>
      <xdr:colOff>1149370</xdr:colOff>
      <xdr:row>14</xdr:row>
      <xdr:rowOff>362493</xdr:rowOff>
    </xdr:to>
    <mc:AlternateContent xmlns:mc="http://schemas.openxmlformats.org/markup-compatibility/2006">
      <mc:Choice xmlns:sle15="http://schemas.microsoft.com/office/drawing/2012/slicer" Requires="sle15">
        <xdr:graphicFrame macro="">
          <xdr:nvGraphicFramePr>
            <xdr:cNvPr id="8" name="Document">
              <a:extLst>
                <a:ext uri="{FF2B5EF4-FFF2-40B4-BE49-F238E27FC236}">
                  <a16:creationId xmlns:a16="http://schemas.microsoft.com/office/drawing/2014/main" id="{7BA75410-E1E3-4447-9A5B-994ED4CA2031}"/>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Document"/>
            </a:graphicData>
          </a:graphic>
        </xdr:graphicFrame>
      </mc:Choice>
      <mc:Fallback>
        <xdr:sp macro="" textlink="">
          <xdr:nvSpPr>
            <xdr:cNvPr id="0" name=""/>
            <xdr:cNvSpPr>
              <a:spLocks noTextEdit="1"/>
            </xdr:cNvSpPr>
          </xdr:nvSpPr>
          <xdr:spPr>
            <a:xfrm>
              <a:off x="12921726" y="925286"/>
              <a:ext cx="2183130" cy="3660864"/>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10</xdr:col>
      <xdr:colOff>6399</xdr:colOff>
      <xdr:row>15</xdr:row>
      <xdr:rowOff>123100</xdr:rowOff>
    </xdr:from>
    <xdr:to>
      <xdr:col>11</xdr:col>
      <xdr:colOff>1166272</xdr:colOff>
      <xdr:row>25</xdr:row>
      <xdr:rowOff>482328</xdr:rowOff>
    </xdr:to>
    <mc:AlternateContent xmlns:mc="http://schemas.openxmlformats.org/markup-compatibility/2006">
      <mc:Choice xmlns:sle15="http://schemas.microsoft.com/office/drawing/2012/slicer" Requires="sle15">
        <xdr:graphicFrame macro="">
          <xdr:nvGraphicFramePr>
            <xdr:cNvPr id="2" name="Topic">
              <a:extLst>
                <a:ext uri="{FF2B5EF4-FFF2-40B4-BE49-F238E27FC236}">
                  <a16:creationId xmlns:a16="http://schemas.microsoft.com/office/drawing/2014/main" id="{D43F2FCC-5536-BF2B-5FC4-B8A06999A69B}"/>
                </a:ext>
              </a:extLst>
            </xdr:cNvPr>
            <xdr:cNvGraphicFramePr/>
          </xdr:nvGraphicFramePr>
          <xdr:xfrm>
            <a:off x="0" y="0"/>
            <a:ext cx="0" cy="0"/>
          </xdr:xfrm>
          <a:graphic>
            <a:graphicData uri="http://schemas.microsoft.com/office/drawing/2010/slicer">
              <sle:slicer xmlns:sle="http://schemas.microsoft.com/office/drawing/2010/slicer" name="Topic"/>
            </a:graphicData>
          </a:graphic>
        </xdr:graphicFrame>
      </mc:Choice>
      <mc:Fallback>
        <xdr:sp macro="" textlink="">
          <xdr:nvSpPr>
            <xdr:cNvPr id="0" name=""/>
            <xdr:cNvSpPr>
              <a:spLocks noTextEdit="1"/>
            </xdr:cNvSpPr>
          </xdr:nvSpPr>
          <xdr:spPr>
            <a:xfrm>
              <a:off x="12938628" y="4716871"/>
              <a:ext cx="2183130" cy="36576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11</xdr:col>
      <xdr:colOff>1379220</xdr:colOff>
      <xdr:row>5</xdr:row>
      <xdr:rowOff>0</xdr:rowOff>
    </xdr:from>
    <xdr:to>
      <xdr:col>12</xdr:col>
      <xdr:colOff>1015093</xdr:colOff>
      <xdr:row>14</xdr:row>
      <xdr:rowOff>362493</xdr:rowOff>
    </xdr:to>
    <mc:AlternateContent xmlns:mc="http://schemas.openxmlformats.org/markup-compatibility/2006">
      <mc:Choice xmlns:sle15="http://schemas.microsoft.com/office/drawing/2012/slicer" Requires="sle15">
        <xdr:graphicFrame macro="">
          <xdr:nvGraphicFramePr>
            <xdr:cNvPr id="4" name="Exercise">
              <a:extLst>
                <a:ext uri="{FF2B5EF4-FFF2-40B4-BE49-F238E27FC236}">
                  <a16:creationId xmlns:a16="http://schemas.microsoft.com/office/drawing/2014/main" id="{71507C1D-BC54-8679-631D-A93736172573}"/>
                </a:ext>
              </a:extLst>
            </xdr:cNvPr>
            <xdr:cNvGraphicFramePr/>
          </xdr:nvGraphicFramePr>
          <xdr:xfrm>
            <a:off x="0" y="0"/>
            <a:ext cx="0" cy="0"/>
          </xdr:xfrm>
          <a:graphic>
            <a:graphicData uri="http://schemas.microsoft.com/office/drawing/2010/slicer">
              <sle:slicer xmlns:sle="http://schemas.microsoft.com/office/drawing/2010/slicer" name="Exercise"/>
            </a:graphicData>
          </a:graphic>
        </xdr:graphicFrame>
      </mc:Choice>
      <mc:Fallback>
        <xdr:sp macro="" textlink="">
          <xdr:nvSpPr>
            <xdr:cNvPr id="0" name=""/>
            <xdr:cNvSpPr>
              <a:spLocks noTextEdit="1"/>
            </xdr:cNvSpPr>
          </xdr:nvSpPr>
          <xdr:spPr>
            <a:xfrm>
              <a:off x="15334706" y="925286"/>
              <a:ext cx="2183130" cy="3660864"/>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adjustColumnWidth="0" connectionId="1" xr16:uid="{61FDD53C-A41F-4EEC-95EC-18866CABF2E6}" autoFormatId="16" applyNumberFormats="0" applyBorderFormats="0" applyFontFormats="0" applyPatternFormats="0" applyAlignmentFormats="0" applyWidthHeightFormats="0">
  <queryTableRefresh nextId="16" unboundColumnsRight="2">
    <queryTableFields count="8">
      <queryTableField id="7" name="Index" tableColumnId="7"/>
      <queryTableField id="1" name="Document" tableColumnId="1"/>
      <queryTableField id="12" name="Exercise" tableColumnId="8"/>
      <queryTableField id="9" name="Topic" tableColumnId="2"/>
      <queryTableField id="3" name="Paragraph Type" tableColumnId="3"/>
      <queryTableField id="4" name="Paragraph" tableColumnId="4"/>
      <queryTableField id="14" dataBound="0" tableColumnId="9"/>
      <queryTableField id="6" dataBound="0" tableColumnId="6"/>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ragraph_Type" xr10:uid="{39AF8FCB-AB3D-4F88-B095-4547C39F59EE}" sourceName="Paragraph Type">
  <extLst>
    <x:ext xmlns:x15="http://schemas.microsoft.com/office/spreadsheetml/2010/11/main" uri="{2F2917AC-EB37-4324-AD4E-5DD8C200BD13}">
      <x15:tableSlicerCache tableId="4" column="3"/>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ocument" xr10:uid="{A90092C7-C26E-49A8-BE83-238F6B100158}" sourceName="Document">
  <extLst>
    <x:ext xmlns:x15="http://schemas.microsoft.com/office/spreadsheetml/2010/11/main" uri="{2F2917AC-EB37-4324-AD4E-5DD8C200BD13}">
      <x15:tableSlicerCache tableId="4" column="1"/>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opic" xr10:uid="{074AFB0E-07D0-4365-9F77-9AE913D12DA9}" sourceName="Topic">
  <extLst>
    <x:ext xmlns:x15="http://schemas.microsoft.com/office/spreadsheetml/2010/11/main" uri="{2F2917AC-EB37-4324-AD4E-5DD8C200BD13}">
      <x15:tableSlicerCache tableId="4" column="2"/>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xercise" xr10:uid="{DC3E5F27-695E-4A99-B538-7023BBB72E85}" sourceName="Exercise">
  <extLst>
    <x:ext xmlns:x15="http://schemas.microsoft.com/office/spreadsheetml/2010/11/main" uri="{2F2917AC-EB37-4324-AD4E-5DD8C200BD13}">
      <x15:tableSlicerCache tableId="4" column="8"/>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aragraph Type" xr10:uid="{8FF9C5AE-1E55-43FA-AB31-005B16556DC8}" cache="Slicer_Paragraph_Type" caption="Paragraph Type" style="SlicerStyleOther2" rowHeight="274320"/>
  <slicer name="Document" xr10:uid="{709FE5B1-516C-4C3A-AB76-5FC878007482}" cache="Slicer_Document" caption="Document" style="SlicerStyleOther2" rowHeight="274320"/>
  <slicer name="Topic" xr10:uid="{F00B5A29-714C-4915-B22A-D8A2846FB2AD}" cache="Slicer_Topic" caption="Topic" style="SlicerStyleOther2" rowHeight="274320"/>
  <slicer name="Exercise" xr10:uid="{71C8A278-955D-448F-9402-356F40445401}" cache="Slicer_Exercise" caption="Exercise" style="SlicerStyleOther2" rowHeight="27432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E3E1044-28EE-48AD-ADC2-51C8FE6B03A8}" name="Proxy_Data_1" displayName="Proxy_Data_1" ref="B4:I53" tableType="queryTable" totalsRowCount="1" headerRowDxfId="11" dataDxfId="10">
  <autoFilter ref="B4:I52" xr:uid="{4E3E1044-28EE-48AD-ADC2-51C8FE6B03A8}">
    <filterColumn colId="6">
      <customFilters>
        <customFilter operator="notEqual" val="0"/>
      </customFilters>
    </filterColumn>
    <filterColumn colId="7">
      <customFilters>
        <customFilter operator="notEqual" val="0"/>
      </customFilters>
    </filterColumn>
  </autoFilter>
  <sortState xmlns:xlrd2="http://schemas.microsoft.com/office/spreadsheetml/2017/richdata2" ref="B5:I52">
    <sortCondition ref="B4:B52"/>
  </sortState>
  <tableColumns count="8">
    <tableColumn id="7" xr3:uid="{44489FB5-491C-4EB0-8874-D99F0BD9BDFF}" uniqueName="7" name="Index" totalsRowLabel="Total" queryTableFieldId="7" dataDxfId="6" totalsRowDxfId="7"/>
    <tableColumn id="1" xr3:uid="{95DAFDCB-6A19-44DF-8B10-55CB8CF54040}" uniqueName="1" name="Document" totalsRowFunction="count" queryTableFieldId="1" totalsRowDxfId="4"/>
    <tableColumn id="8" xr3:uid="{EF89B3B0-F1CA-4E89-860C-D4E01570BDE1}" uniqueName="8" name="Exercise" queryTableFieldId="12" totalsRowDxfId="3"/>
    <tableColumn id="2" xr3:uid="{FEC26969-43CF-4899-A2CA-2E322BE861F5}" uniqueName="2" name="Topic" queryTableFieldId="9" totalsRowDxfId="2"/>
    <tableColumn id="3" xr3:uid="{2B77FCD6-7528-468B-8EF6-E68F5CBE7BE5}" uniqueName="3" name="Paragraph Type" queryTableFieldId="3" totalsRowDxfId="1"/>
    <tableColumn id="4" xr3:uid="{251B8616-4C9C-4F43-A418-8021C5FA780E}" uniqueName="4" name="Paragraph" queryTableFieldId="4" totalsRowDxfId="0"/>
    <tableColumn id="9" xr3:uid="{5DDA2CC8-9AF2-4145-9B8A-56B78DF346C6}" uniqueName="9" name="Topic Search" queryTableFieldId="14" dataDxfId="5" totalsRowDxfId="8">
      <calculatedColumnFormula>SUM(ISNUMBER(SEARCH($L$3,Proxy_Data_1[[#This Row],[Topic]])))</calculatedColumnFormula>
    </tableColumn>
    <tableColumn id="6" xr3:uid="{23EF1832-2978-4736-86BB-C710B2589B4E}" uniqueName="6" name="Word Search" totalsRowFunction="sum" queryTableFieldId="6" dataDxfId="9">
      <calculatedColumnFormula>SUM(ISNUMBER(SEARCH($L$4,Proxy_Data_1[[#This Row],[Paragraph]])))</calculatedColumnFormula>
    </tableColumn>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29F392-A534-497F-B95D-7FBFFAB13D1B}">
  <sheetPr codeName="Sheet1">
    <pageSetUpPr autoPageBreaks="0"/>
  </sheetPr>
  <dimension ref="B1:N53"/>
  <sheetViews>
    <sheetView showGridLines="0" tabSelected="1" zoomScale="70" zoomScaleNormal="70" zoomScalePageLayoutView="32" workbookViewId="0">
      <selection activeCell="F10" sqref="F10"/>
      <extLst>
        <ext xmlns:xlsdti="http://schemas.microsoft.com/office/spreadsheetml/2023/showDataTypeIcons" uri="{77bfe23e-c014-4d31-8a63-9c772dbf06b6}">
          <xlsdti:showDataTypeIcons visible="0"/>
        </ext>
      </extLst>
    </sheetView>
  </sheetViews>
  <sheetFormatPr defaultRowHeight="14.4" x14ac:dyDescent="0.3"/>
  <cols>
    <col min="1" max="1" width="10.88671875" style="1" customWidth="1"/>
    <col min="2" max="2" width="9.109375" style="1" hidden="1" customWidth="1"/>
    <col min="3" max="3" width="32.6640625" style="1" bestFit="1" customWidth="1"/>
    <col min="4" max="4" width="11.5546875" style="2" bestFit="1" customWidth="1"/>
    <col min="5" max="5" width="45.5546875" style="2" customWidth="1"/>
    <col min="6" max="6" width="17.109375" style="2" bestFit="1" customWidth="1"/>
    <col min="7" max="7" width="60.77734375" style="2" customWidth="1"/>
    <col min="8" max="8" width="24.5546875" style="2" hidden="1" customWidth="1"/>
    <col min="9" max="9" width="15" style="1" hidden="1" customWidth="1"/>
    <col min="10" max="10" width="9.77734375" style="3" customWidth="1"/>
    <col min="11" max="11" width="14.88671875" style="1" customWidth="1"/>
    <col min="12" max="12" width="37.109375" style="1" customWidth="1"/>
    <col min="13" max="13" width="18.21875" style="1" customWidth="1"/>
    <col min="14" max="14" width="6" style="1" customWidth="1"/>
    <col min="15" max="15" width="18.44140625" style="1" customWidth="1"/>
    <col min="16" max="16" width="5.88671875" style="1" bestFit="1" customWidth="1"/>
    <col min="17" max="17" width="6" style="1" customWidth="1"/>
    <col min="18" max="16384" width="8.88671875" style="1"/>
  </cols>
  <sheetData>
    <row r="1" spans="2:14" x14ac:dyDescent="0.3">
      <c r="I1" s="1" t="s">
        <v>31</v>
      </c>
    </row>
    <row r="3" spans="2:14" x14ac:dyDescent="0.3">
      <c r="K3" s="12" t="s">
        <v>37</v>
      </c>
      <c r="L3" s="10"/>
      <c r="M3" s="13" t="s">
        <v>40</v>
      </c>
      <c r="N3" s="14">
        <f>Proxy_Data_1[[#Totals],[Document]]</f>
        <v>48</v>
      </c>
    </row>
    <row r="4" spans="2:14" x14ac:dyDescent="0.3">
      <c r="B4" s="10" t="s">
        <v>23</v>
      </c>
      <c r="C4" s="11" t="s">
        <v>0</v>
      </c>
      <c r="D4" s="11" t="s">
        <v>32</v>
      </c>
      <c r="E4" s="6" t="s">
        <v>6</v>
      </c>
      <c r="F4" s="11" t="s">
        <v>10</v>
      </c>
      <c r="G4" s="6" t="s">
        <v>1</v>
      </c>
      <c r="H4" s="6" t="s">
        <v>36</v>
      </c>
      <c r="I4" t="s">
        <v>22</v>
      </c>
      <c r="K4" s="12" t="s">
        <v>38</v>
      </c>
      <c r="L4" s="9"/>
      <c r="M4" s="13" t="s">
        <v>39</v>
      </c>
      <c r="N4" s="15">
        <f>Proxy_Data_1[[#Totals],[Document]]/(ROW(Proxy_Data_1[[#Totals],[Document]])-5)</f>
        <v>1</v>
      </c>
    </row>
    <row r="5" spans="2:14" x14ac:dyDescent="0.3">
      <c r="B5" s="10">
        <v>1</v>
      </c>
      <c r="C5" s="4" t="s">
        <v>2</v>
      </c>
      <c r="D5" s="4" t="s">
        <v>33</v>
      </c>
      <c r="E5" s="7" t="s">
        <v>27</v>
      </c>
      <c r="F5" s="8" t="s">
        <v>6</v>
      </c>
      <c r="G5" s="5" t="s">
        <v>11</v>
      </c>
      <c r="H5">
        <f>SUM(ISNUMBER(SEARCH($L$3,Proxy_Data_1[[#This Row],[Topic]])))</f>
        <v>1</v>
      </c>
      <c r="I5">
        <f>SUM(ISNUMBER(SEARCH($L$4,Proxy_Data_1[[#This Row],[Paragraph]])))</f>
        <v>1</v>
      </c>
    </row>
    <row r="6" spans="2:14" ht="43.2" x14ac:dyDescent="0.3">
      <c r="B6" s="10">
        <v>2</v>
      </c>
      <c r="C6" s="4" t="s">
        <v>2</v>
      </c>
      <c r="D6" s="4" t="s">
        <v>33</v>
      </c>
      <c r="E6" s="7" t="s">
        <v>27</v>
      </c>
      <c r="F6" s="8" t="s">
        <v>7</v>
      </c>
      <c r="G6" s="5" t="s">
        <v>12</v>
      </c>
      <c r="H6" s="5">
        <f>SUM(ISNUMBER(SEARCH($L$3,Proxy_Data_1[[#This Row],[Topic]])))</f>
        <v>1</v>
      </c>
      <c r="I6">
        <f>SUM(ISNUMBER(SEARCH($L$4,Proxy_Data_1[[#This Row],[Paragraph]])))</f>
        <v>1</v>
      </c>
    </row>
    <row r="7" spans="2:14" ht="57.6" x14ac:dyDescent="0.3">
      <c r="B7" s="10">
        <v>3</v>
      </c>
      <c r="C7" s="4" t="s">
        <v>2</v>
      </c>
      <c r="D7" s="4" t="s">
        <v>33</v>
      </c>
      <c r="E7" s="7" t="s">
        <v>27</v>
      </c>
      <c r="F7" s="8" t="s">
        <v>8</v>
      </c>
      <c r="G7" s="5" t="s">
        <v>3</v>
      </c>
      <c r="H7" s="5">
        <f>SUM(ISNUMBER(SEARCH($L$3,Proxy_Data_1[[#This Row],[Topic]])))</f>
        <v>1</v>
      </c>
      <c r="I7">
        <f>SUM(ISNUMBER(SEARCH($L$4,Proxy_Data_1[[#This Row],[Paragraph]])))</f>
        <v>1</v>
      </c>
    </row>
    <row r="8" spans="2:14" x14ac:dyDescent="0.3">
      <c r="B8" s="10">
        <v>4</v>
      </c>
      <c r="C8" s="4" t="s">
        <v>2</v>
      </c>
      <c r="D8" s="4" t="s">
        <v>33</v>
      </c>
      <c r="E8" s="7" t="s">
        <v>27</v>
      </c>
      <c r="F8" s="8" t="s">
        <v>9</v>
      </c>
      <c r="G8" s="5" t="s">
        <v>4</v>
      </c>
      <c r="H8" s="5">
        <f>SUM(ISNUMBER(SEARCH($L$3,Proxy_Data_1[[#This Row],[Topic]])))</f>
        <v>1</v>
      </c>
      <c r="I8">
        <f>SUM(ISNUMBER(SEARCH($L$4,Proxy_Data_1[[#This Row],[Paragraph]])))</f>
        <v>1</v>
      </c>
    </row>
    <row r="9" spans="2:14" x14ac:dyDescent="0.3">
      <c r="B9" s="10">
        <v>5</v>
      </c>
      <c r="C9" s="4" t="s">
        <v>2</v>
      </c>
      <c r="D9" s="4" t="s">
        <v>33</v>
      </c>
      <c r="E9" s="7" t="s">
        <v>28</v>
      </c>
      <c r="F9" s="8" t="s">
        <v>6</v>
      </c>
      <c r="G9" s="5" t="s">
        <v>13</v>
      </c>
      <c r="H9" s="5">
        <f>SUM(ISNUMBER(SEARCH($L$3,Proxy_Data_1[[#This Row],[Topic]])))</f>
        <v>1</v>
      </c>
      <c r="I9">
        <f>SUM(ISNUMBER(SEARCH($L$4,Proxy_Data_1[[#This Row],[Paragraph]])))</f>
        <v>1</v>
      </c>
    </row>
    <row r="10" spans="2:14" ht="57.6" x14ac:dyDescent="0.3">
      <c r="B10" s="10">
        <v>6</v>
      </c>
      <c r="C10" s="4" t="s">
        <v>2</v>
      </c>
      <c r="D10" s="4" t="s">
        <v>33</v>
      </c>
      <c r="E10" s="7" t="s">
        <v>28</v>
      </c>
      <c r="F10" s="8" t="s">
        <v>7</v>
      </c>
      <c r="G10" s="5" t="s">
        <v>14</v>
      </c>
      <c r="H10" s="5">
        <f>SUM(ISNUMBER(SEARCH($L$3,Proxy_Data_1[[#This Row],[Topic]])))</f>
        <v>1</v>
      </c>
      <c r="I10">
        <f>SUM(ISNUMBER(SEARCH($L$4,Proxy_Data_1[[#This Row],[Paragraph]])))</f>
        <v>1</v>
      </c>
    </row>
    <row r="11" spans="2:14" ht="28.8" x14ac:dyDescent="0.3">
      <c r="B11" s="10">
        <v>7</v>
      </c>
      <c r="C11" s="4" t="s">
        <v>2</v>
      </c>
      <c r="D11" s="4" t="s">
        <v>33</v>
      </c>
      <c r="E11" s="7" t="s">
        <v>28</v>
      </c>
      <c r="F11" s="8" t="s">
        <v>8</v>
      </c>
      <c r="G11" s="5" t="s">
        <v>15</v>
      </c>
      <c r="H11" s="5">
        <f>SUM(ISNUMBER(SEARCH($L$3,Proxy_Data_1[[#This Row],[Topic]])))</f>
        <v>1</v>
      </c>
      <c r="I11">
        <f>SUM(ISNUMBER(SEARCH($L$4,Proxy_Data_1[[#This Row],[Paragraph]])))</f>
        <v>1</v>
      </c>
    </row>
    <row r="12" spans="2:14" x14ac:dyDescent="0.3">
      <c r="B12" s="10">
        <v>8</v>
      </c>
      <c r="C12" s="4" t="s">
        <v>2</v>
      </c>
      <c r="D12" s="4" t="s">
        <v>33</v>
      </c>
      <c r="E12" s="7" t="s">
        <v>28</v>
      </c>
      <c r="F12" s="8" t="s">
        <v>9</v>
      </c>
      <c r="G12" s="5" t="s">
        <v>4</v>
      </c>
      <c r="H12" s="5">
        <f>SUM(ISNUMBER(SEARCH($L$3,Proxy_Data_1[[#This Row],[Topic]])))</f>
        <v>1</v>
      </c>
      <c r="I12">
        <f>SUM(ISNUMBER(SEARCH($L$4,Proxy_Data_1[[#This Row],[Paragraph]])))</f>
        <v>1</v>
      </c>
    </row>
    <row r="13" spans="2:14" x14ac:dyDescent="0.3">
      <c r="B13" s="10">
        <v>9</v>
      </c>
      <c r="C13" s="4" t="s">
        <v>2</v>
      </c>
      <c r="D13" s="4" t="s">
        <v>33</v>
      </c>
      <c r="E13" s="7" t="s">
        <v>29</v>
      </c>
      <c r="F13" s="8" t="s">
        <v>6</v>
      </c>
      <c r="G13" s="5" t="s">
        <v>16</v>
      </c>
      <c r="H13" s="5">
        <f>SUM(ISNUMBER(SEARCH($L$3,Proxy_Data_1[[#This Row],[Topic]])))</f>
        <v>1</v>
      </c>
      <c r="I13">
        <f>SUM(ISNUMBER(SEARCH($L$4,Proxy_Data_1[[#This Row],[Paragraph]])))</f>
        <v>1</v>
      </c>
    </row>
    <row r="14" spans="2:14" x14ac:dyDescent="0.3">
      <c r="B14" s="10">
        <v>10</v>
      </c>
      <c r="C14" s="4" t="s">
        <v>2</v>
      </c>
      <c r="D14" s="4" t="s">
        <v>33</v>
      </c>
      <c r="E14" s="7" t="s">
        <v>29</v>
      </c>
      <c r="F14" s="8" t="s">
        <v>7</v>
      </c>
      <c r="G14" s="5" t="s">
        <v>17</v>
      </c>
      <c r="H14" s="5">
        <f>SUM(ISNUMBER(SEARCH($L$3,Proxy_Data_1[[#This Row],[Topic]])))</f>
        <v>1</v>
      </c>
      <c r="I14">
        <f>SUM(ISNUMBER(SEARCH($L$4,Proxy_Data_1[[#This Row],[Paragraph]])))</f>
        <v>1</v>
      </c>
    </row>
    <row r="15" spans="2:14" ht="28.8" x14ac:dyDescent="0.3">
      <c r="B15" s="10">
        <v>11</v>
      </c>
      <c r="C15" s="4" t="s">
        <v>2</v>
      </c>
      <c r="D15" s="4" t="s">
        <v>33</v>
      </c>
      <c r="E15" s="7" t="s">
        <v>29</v>
      </c>
      <c r="F15" s="8" t="s">
        <v>8</v>
      </c>
      <c r="G15" s="5" t="s">
        <v>18</v>
      </c>
      <c r="H15" s="5">
        <f>SUM(ISNUMBER(SEARCH($L$3,Proxy_Data_1[[#This Row],[Topic]])))</f>
        <v>1</v>
      </c>
      <c r="I15">
        <f>SUM(ISNUMBER(SEARCH($L$4,Proxy_Data_1[[#This Row],[Paragraph]])))</f>
        <v>1</v>
      </c>
    </row>
    <row r="16" spans="2:14" x14ac:dyDescent="0.3">
      <c r="B16" s="10">
        <v>12</v>
      </c>
      <c r="C16" s="4" t="s">
        <v>2</v>
      </c>
      <c r="D16" s="4" t="s">
        <v>33</v>
      </c>
      <c r="E16" s="7" t="s">
        <v>29</v>
      </c>
      <c r="F16" s="8" t="s">
        <v>9</v>
      </c>
      <c r="G16" s="5" t="s">
        <v>4</v>
      </c>
      <c r="H16" s="5">
        <f>SUM(ISNUMBER(SEARCH($L$3,Proxy_Data_1[[#This Row],[Topic]])))</f>
        <v>1</v>
      </c>
      <c r="I16">
        <f>SUM(ISNUMBER(SEARCH($L$4,Proxy_Data_1[[#This Row],[Paragraph]])))</f>
        <v>1</v>
      </c>
    </row>
    <row r="17" spans="2:9" x14ac:dyDescent="0.3">
      <c r="B17" s="10">
        <v>13</v>
      </c>
      <c r="C17" s="4" t="s">
        <v>2</v>
      </c>
      <c r="D17" s="4" t="s">
        <v>33</v>
      </c>
      <c r="E17" s="7" t="s">
        <v>30</v>
      </c>
      <c r="F17" s="8" t="s">
        <v>6</v>
      </c>
      <c r="G17" s="5" t="s">
        <v>19</v>
      </c>
      <c r="H17" s="5">
        <f>SUM(ISNUMBER(SEARCH($L$3,Proxy_Data_1[[#This Row],[Topic]])))</f>
        <v>1</v>
      </c>
      <c r="I17">
        <f>SUM(ISNUMBER(SEARCH($L$4,Proxy_Data_1[[#This Row],[Paragraph]])))</f>
        <v>1</v>
      </c>
    </row>
    <row r="18" spans="2:9" ht="57.6" x14ac:dyDescent="0.3">
      <c r="B18" s="10">
        <v>14</v>
      </c>
      <c r="C18" s="4" t="s">
        <v>2</v>
      </c>
      <c r="D18" s="4" t="s">
        <v>33</v>
      </c>
      <c r="E18" s="7" t="s">
        <v>30</v>
      </c>
      <c r="F18" s="8" t="s">
        <v>7</v>
      </c>
      <c r="G18" s="5" t="s">
        <v>20</v>
      </c>
      <c r="H18" s="5">
        <f>SUM(ISNUMBER(SEARCH($L$3,Proxy_Data_1[[#This Row],[Topic]])))</f>
        <v>1</v>
      </c>
      <c r="I18">
        <f>SUM(ISNUMBER(SEARCH($L$4,Proxy_Data_1[[#This Row],[Paragraph]])))</f>
        <v>1</v>
      </c>
    </row>
    <row r="19" spans="2:9" x14ac:dyDescent="0.3">
      <c r="B19" s="10">
        <v>15</v>
      </c>
      <c r="C19" s="4" t="s">
        <v>2</v>
      </c>
      <c r="D19" s="4" t="s">
        <v>33</v>
      </c>
      <c r="E19" s="7" t="s">
        <v>30</v>
      </c>
      <c r="F19" s="8" t="s">
        <v>8</v>
      </c>
      <c r="G19" s="5" t="s">
        <v>21</v>
      </c>
      <c r="H19" s="5">
        <f>SUM(ISNUMBER(SEARCH($L$3,Proxy_Data_1[[#This Row],[Topic]])))</f>
        <v>1</v>
      </c>
      <c r="I19">
        <f>SUM(ISNUMBER(SEARCH($L$4,Proxy_Data_1[[#This Row],[Paragraph]])))</f>
        <v>1</v>
      </c>
    </row>
    <row r="20" spans="2:9" x14ac:dyDescent="0.3">
      <c r="B20" s="10">
        <v>16</v>
      </c>
      <c r="C20" s="4" t="s">
        <v>2</v>
      </c>
      <c r="D20" s="4" t="s">
        <v>33</v>
      </c>
      <c r="E20" s="7" t="s">
        <v>30</v>
      </c>
      <c r="F20" s="8" t="s">
        <v>9</v>
      </c>
      <c r="G20" s="5" t="s">
        <v>5</v>
      </c>
      <c r="H20" s="5">
        <f>SUM(ISNUMBER(SEARCH($L$3,Proxy_Data_1[[#This Row],[Topic]])))</f>
        <v>1</v>
      </c>
      <c r="I20">
        <f>SUM(ISNUMBER(SEARCH($L$4,Proxy_Data_1[[#This Row],[Paragraph]])))</f>
        <v>1</v>
      </c>
    </row>
    <row r="21" spans="2:9" x14ac:dyDescent="0.3">
      <c r="B21" s="10">
        <v>17</v>
      </c>
      <c r="C21" s="4" t="s">
        <v>24</v>
      </c>
      <c r="D21" s="4" t="s">
        <v>34</v>
      </c>
      <c r="E21" s="7" t="s">
        <v>27</v>
      </c>
      <c r="F21" s="8" t="s">
        <v>6</v>
      </c>
      <c r="G21" s="5" t="s">
        <v>11</v>
      </c>
      <c r="H21" s="5">
        <f>SUM(ISNUMBER(SEARCH($L$3,Proxy_Data_1[[#This Row],[Topic]])))</f>
        <v>1</v>
      </c>
      <c r="I21">
        <f>SUM(ISNUMBER(SEARCH($L$4,Proxy_Data_1[[#This Row],[Paragraph]])))</f>
        <v>1</v>
      </c>
    </row>
    <row r="22" spans="2:9" ht="43.2" x14ac:dyDescent="0.3">
      <c r="B22" s="10">
        <v>18</v>
      </c>
      <c r="C22" s="4" t="s">
        <v>24</v>
      </c>
      <c r="D22" s="4" t="s">
        <v>34</v>
      </c>
      <c r="E22" s="7" t="s">
        <v>27</v>
      </c>
      <c r="F22" s="8" t="s">
        <v>7</v>
      </c>
      <c r="G22" s="5" t="s">
        <v>12</v>
      </c>
      <c r="H22" s="5">
        <f>SUM(ISNUMBER(SEARCH($L$3,Proxy_Data_1[[#This Row],[Topic]])))</f>
        <v>1</v>
      </c>
      <c r="I22">
        <f>SUM(ISNUMBER(SEARCH($L$4,Proxy_Data_1[[#This Row],[Paragraph]])))</f>
        <v>1</v>
      </c>
    </row>
    <row r="23" spans="2:9" ht="57.6" x14ac:dyDescent="0.3">
      <c r="B23" s="10">
        <v>19</v>
      </c>
      <c r="C23" s="4" t="s">
        <v>24</v>
      </c>
      <c r="D23" s="4" t="s">
        <v>34</v>
      </c>
      <c r="E23" s="7" t="s">
        <v>27</v>
      </c>
      <c r="F23" s="8" t="s">
        <v>8</v>
      </c>
      <c r="G23" s="5" t="s">
        <v>3</v>
      </c>
      <c r="H23" s="5">
        <f>SUM(ISNUMBER(SEARCH($L$3,Proxy_Data_1[[#This Row],[Topic]])))</f>
        <v>1</v>
      </c>
      <c r="I23">
        <f>SUM(ISNUMBER(SEARCH($L$4,Proxy_Data_1[[#This Row],[Paragraph]])))</f>
        <v>1</v>
      </c>
    </row>
    <row r="24" spans="2:9" x14ac:dyDescent="0.3">
      <c r="B24" s="10">
        <v>20</v>
      </c>
      <c r="C24" s="4" t="s">
        <v>24</v>
      </c>
      <c r="D24" s="4" t="s">
        <v>34</v>
      </c>
      <c r="E24" s="7" t="s">
        <v>27</v>
      </c>
      <c r="F24" s="8" t="s">
        <v>9</v>
      </c>
      <c r="G24" s="5" t="s">
        <v>4</v>
      </c>
      <c r="H24" s="5">
        <f>SUM(ISNUMBER(SEARCH($L$3,Proxy_Data_1[[#This Row],[Topic]])))</f>
        <v>1</v>
      </c>
      <c r="I24">
        <f>SUM(ISNUMBER(SEARCH($L$4,Proxy_Data_1[[#This Row],[Paragraph]])))</f>
        <v>1</v>
      </c>
    </row>
    <row r="25" spans="2:9" x14ac:dyDescent="0.3">
      <c r="B25" s="10">
        <v>21</v>
      </c>
      <c r="C25" s="4" t="s">
        <v>24</v>
      </c>
      <c r="D25" s="4" t="s">
        <v>34</v>
      </c>
      <c r="E25" s="7" t="s">
        <v>28</v>
      </c>
      <c r="F25" s="8" t="s">
        <v>6</v>
      </c>
      <c r="G25" s="5" t="s">
        <v>13</v>
      </c>
      <c r="H25" s="5">
        <f>SUM(ISNUMBER(SEARCH($L$3,Proxy_Data_1[[#This Row],[Topic]])))</f>
        <v>1</v>
      </c>
      <c r="I25">
        <f>SUM(ISNUMBER(SEARCH($L$4,Proxy_Data_1[[#This Row],[Paragraph]])))</f>
        <v>1</v>
      </c>
    </row>
    <row r="26" spans="2:9" ht="57.6" x14ac:dyDescent="0.3">
      <c r="B26" s="10">
        <v>22</v>
      </c>
      <c r="C26" s="4" t="s">
        <v>24</v>
      </c>
      <c r="D26" s="4" t="s">
        <v>34</v>
      </c>
      <c r="E26" s="7" t="s">
        <v>28</v>
      </c>
      <c r="F26" s="8" t="s">
        <v>7</v>
      </c>
      <c r="G26" s="5" t="s">
        <v>14</v>
      </c>
      <c r="H26" s="5">
        <f>SUM(ISNUMBER(SEARCH($L$3,Proxy_Data_1[[#This Row],[Topic]])))</f>
        <v>1</v>
      </c>
      <c r="I26">
        <f>SUM(ISNUMBER(SEARCH($L$4,Proxy_Data_1[[#This Row],[Paragraph]])))</f>
        <v>1</v>
      </c>
    </row>
    <row r="27" spans="2:9" ht="28.8" x14ac:dyDescent="0.3">
      <c r="B27" s="10">
        <v>23</v>
      </c>
      <c r="C27" s="4" t="s">
        <v>24</v>
      </c>
      <c r="D27" s="4" t="s">
        <v>34</v>
      </c>
      <c r="E27" s="7" t="s">
        <v>28</v>
      </c>
      <c r="F27" s="8" t="s">
        <v>8</v>
      </c>
      <c r="G27" s="5" t="s">
        <v>15</v>
      </c>
      <c r="H27" s="5">
        <f>SUM(ISNUMBER(SEARCH($L$3,Proxy_Data_1[[#This Row],[Topic]])))</f>
        <v>1</v>
      </c>
      <c r="I27">
        <f>SUM(ISNUMBER(SEARCH($L$4,Proxy_Data_1[[#This Row],[Paragraph]])))</f>
        <v>1</v>
      </c>
    </row>
    <row r="28" spans="2:9" x14ac:dyDescent="0.3">
      <c r="B28" s="10">
        <v>24</v>
      </c>
      <c r="C28" s="4" t="s">
        <v>24</v>
      </c>
      <c r="D28" s="4" t="s">
        <v>34</v>
      </c>
      <c r="E28" s="7" t="s">
        <v>28</v>
      </c>
      <c r="F28" s="8" t="s">
        <v>9</v>
      </c>
      <c r="G28" s="5" t="s">
        <v>4</v>
      </c>
      <c r="H28" s="5">
        <f>SUM(ISNUMBER(SEARCH($L$3,Proxy_Data_1[[#This Row],[Topic]])))</f>
        <v>1</v>
      </c>
      <c r="I28">
        <f>SUM(ISNUMBER(SEARCH($L$4,Proxy_Data_1[[#This Row],[Paragraph]])))</f>
        <v>1</v>
      </c>
    </row>
    <row r="29" spans="2:9" x14ac:dyDescent="0.3">
      <c r="B29" s="10">
        <v>25</v>
      </c>
      <c r="C29" s="4" t="s">
        <v>24</v>
      </c>
      <c r="D29" s="4" t="s">
        <v>34</v>
      </c>
      <c r="E29" s="7" t="s">
        <v>29</v>
      </c>
      <c r="F29" s="8" t="s">
        <v>6</v>
      </c>
      <c r="G29" s="5" t="s">
        <v>16</v>
      </c>
      <c r="H29" s="5">
        <f>SUM(ISNUMBER(SEARCH($L$3,Proxy_Data_1[[#This Row],[Topic]])))</f>
        <v>1</v>
      </c>
      <c r="I29">
        <f>SUM(ISNUMBER(SEARCH($L$4,Proxy_Data_1[[#This Row],[Paragraph]])))</f>
        <v>1</v>
      </c>
    </row>
    <row r="30" spans="2:9" x14ac:dyDescent="0.3">
      <c r="B30" s="10">
        <v>26</v>
      </c>
      <c r="C30" s="4" t="s">
        <v>24</v>
      </c>
      <c r="D30" s="4" t="s">
        <v>34</v>
      </c>
      <c r="E30" s="7" t="s">
        <v>29</v>
      </c>
      <c r="F30" s="8" t="s">
        <v>7</v>
      </c>
      <c r="G30" s="5" t="s">
        <v>17</v>
      </c>
      <c r="H30" s="5">
        <f>SUM(ISNUMBER(SEARCH($L$3,Proxy_Data_1[[#This Row],[Topic]])))</f>
        <v>1</v>
      </c>
      <c r="I30">
        <f>SUM(ISNUMBER(SEARCH($L$4,Proxy_Data_1[[#This Row],[Paragraph]])))</f>
        <v>1</v>
      </c>
    </row>
    <row r="31" spans="2:9" ht="28.8" x14ac:dyDescent="0.3">
      <c r="B31" s="10">
        <v>27</v>
      </c>
      <c r="C31" s="4" t="s">
        <v>24</v>
      </c>
      <c r="D31" s="4" t="s">
        <v>34</v>
      </c>
      <c r="E31" s="7" t="s">
        <v>29</v>
      </c>
      <c r="F31" s="8" t="s">
        <v>8</v>
      </c>
      <c r="G31" s="5" t="s">
        <v>18</v>
      </c>
      <c r="H31" s="5">
        <f>SUM(ISNUMBER(SEARCH($L$3,Proxy_Data_1[[#This Row],[Topic]])))</f>
        <v>1</v>
      </c>
      <c r="I31">
        <f>SUM(ISNUMBER(SEARCH($L$4,Proxy_Data_1[[#This Row],[Paragraph]])))</f>
        <v>1</v>
      </c>
    </row>
    <row r="32" spans="2:9" x14ac:dyDescent="0.3">
      <c r="B32" s="10">
        <v>28</v>
      </c>
      <c r="C32" s="4" t="s">
        <v>24</v>
      </c>
      <c r="D32" s="4" t="s">
        <v>34</v>
      </c>
      <c r="E32" s="7" t="s">
        <v>29</v>
      </c>
      <c r="F32" s="8" t="s">
        <v>9</v>
      </c>
      <c r="G32" s="5" t="s">
        <v>4</v>
      </c>
      <c r="H32" s="5">
        <f>SUM(ISNUMBER(SEARCH($L$3,Proxy_Data_1[[#This Row],[Topic]])))</f>
        <v>1</v>
      </c>
      <c r="I32">
        <f>SUM(ISNUMBER(SEARCH($L$4,Proxy_Data_1[[#This Row],[Paragraph]])))</f>
        <v>1</v>
      </c>
    </row>
    <row r="33" spans="2:9" x14ac:dyDescent="0.3">
      <c r="B33" s="10">
        <v>29</v>
      </c>
      <c r="C33" s="4" t="s">
        <v>24</v>
      </c>
      <c r="D33" s="4" t="s">
        <v>34</v>
      </c>
      <c r="E33" s="7" t="s">
        <v>30</v>
      </c>
      <c r="F33" s="8" t="s">
        <v>6</v>
      </c>
      <c r="G33" s="5" t="s">
        <v>19</v>
      </c>
      <c r="H33" s="5">
        <f>SUM(ISNUMBER(SEARCH($L$3,Proxy_Data_1[[#This Row],[Topic]])))</f>
        <v>1</v>
      </c>
      <c r="I33">
        <f>SUM(ISNUMBER(SEARCH($L$4,Proxy_Data_1[[#This Row],[Paragraph]])))</f>
        <v>1</v>
      </c>
    </row>
    <row r="34" spans="2:9" ht="57.6" x14ac:dyDescent="0.3">
      <c r="B34" s="10">
        <v>30</v>
      </c>
      <c r="C34" s="4" t="s">
        <v>24</v>
      </c>
      <c r="D34" s="4" t="s">
        <v>34</v>
      </c>
      <c r="E34" s="7" t="s">
        <v>30</v>
      </c>
      <c r="F34" s="8" t="s">
        <v>7</v>
      </c>
      <c r="G34" s="5" t="s">
        <v>20</v>
      </c>
      <c r="H34" s="5">
        <f>SUM(ISNUMBER(SEARCH($L$3,Proxy_Data_1[[#This Row],[Topic]])))</f>
        <v>1</v>
      </c>
      <c r="I34">
        <f>SUM(ISNUMBER(SEARCH($L$4,Proxy_Data_1[[#This Row],[Paragraph]])))</f>
        <v>1</v>
      </c>
    </row>
    <row r="35" spans="2:9" x14ac:dyDescent="0.3">
      <c r="B35" s="10">
        <v>31</v>
      </c>
      <c r="C35" s="4" t="s">
        <v>24</v>
      </c>
      <c r="D35" s="4" t="s">
        <v>34</v>
      </c>
      <c r="E35" s="7" t="s">
        <v>30</v>
      </c>
      <c r="F35" s="8" t="s">
        <v>8</v>
      </c>
      <c r="G35" s="5" t="s">
        <v>21</v>
      </c>
      <c r="H35" s="5">
        <f>SUM(ISNUMBER(SEARCH($L$3,Proxy_Data_1[[#This Row],[Topic]])))</f>
        <v>1</v>
      </c>
      <c r="I35">
        <f>SUM(ISNUMBER(SEARCH($L$4,Proxy_Data_1[[#This Row],[Paragraph]])))</f>
        <v>1</v>
      </c>
    </row>
    <row r="36" spans="2:9" x14ac:dyDescent="0.3">
      <c r="B36" s="10">
        <v>32</v>
      </c>
      <c r="C36" s="4" t="s">
        <v>24</v>
      </c>
      <c r="D36" s="4" t="s">
        <v>34</v>
      </c>
      <c r="E36" s="7" t="s">
        <v>30</v>
      </c>
      <c r="F36" s="8" t="s">
        <v>9</v>
      </c>
      <c r="G36" s="5" t="s">
        <v>5</v>
      </c>
      <c r="H36" s="5">
        <f>SUM(ISNUMBER(SEARCH($L$3,Proxy_Data_1[[#This Row],[Topic]])))</f>
        <v>1</v>
      </c>
      <c r="I36">
        <f>SUM(ISNUMBER(SEARCH($L$4,Proxy_Data_1[[#This Row],[Paragraph]])))</f>
        <v>1</v>
      </c>
    </row>
    <row r="37" spans="2:9" x14ac:dyDescent="0.3">
      <c r="B37" s="10">
        <v>33</v>
      </c>
      <c r="C37" s="4" t="s">
        <v>25</v>
      </c>
      <c r="D37" s="4" t="s">
        <v>35</v>
      </c>
      <c r="E37" s="7" t="s">
        <v>27</v>
      </c>
      <c r="F37" s="8" t="s">
        <v>6</v>
      </c>
      <c r="G37" s="5" t="s">
        <v>11</v>
      </c>
      <c r="H37" s="5">
        <f>SUM(ISNUMBER(SEARCH($L$3,Proxy_Data_1[[#This Row],[Topic]])))</f>
        <v>1</v>
      </c>
      <c r="I37">
        <f>SUM(ISNUMBER(SEARCH($L$4,Proxy_Data_1[[#This Row],[Paragraph]])))</f>
        <v>1</v>
      </c>
    </row>
    <row r="38" spans="2:9" ht="43.2" x14ac:dyDescent="0.3">
      <c r="B38" s="10">
        <v>34</v>
      </c>
      <c r="C38" s="4" t="s">
        <v>25</v>
      </c>
      <c r="D38" s="4" t="s">
        <v>35</v>
      </c>
      <c r="E38" s="7" t="s">
        <v>27</v>
      </c>
      <c r="F38" s="8" t="s">
        <v>7</v>
      </c>
      <c r="G38" s="5" t="s">
        <v>12</v>
      </c>
      <c r="H38" s="5">
        <f>SUM(ISNUMBER(SEARCH($L$3,Proxy_Data_1[[#This Row],[Topic]])))</f>
        <v>1</v>
      </c>
      <c r="I38">
        <f>SUM(ISNUMBER(SEARCH($L$4,Proxy_Data_1[[#This Row],[Paragraph]])))</f>
        <v>1</v>
      </c>
    </row>
    <row r="39" spans="2:9" ht="57.6" x14ac:dyDescent="0.3">
      <c r="B39" s="10">
        <v>35</v>
      </c>
      <c r="C39" s="4" t="s">
        <v>25</v>
      </c>
      <c r="D39" s="4" t="s">
        <v>35</v>
      </c>
      <c r="E39" s="7" t="s">
        <v>27</v>
      </c>
      <c r="F39" s="8" t="s">
        <v>8</v>
      </c>
      <c r="G39" s="5" t="s">
        <v>3</v>
      </c>
      <c r="H39" s="5">
        <f>SUM(ISNUMBER(SEARCH($L$3,Proxy_Data_1[[#This Row],[Topic]])))</f>
        <v>1</v>
      </c>
      <c r="I39">
        <f>SUM(ISNUMBER(SEARCH($L$4,Proxy_Data_1[[#This Row],[Paragraph]])))</f>
        <v>1</v>
      </c>
    </row>
    <row r="40" spans="2:9" x14ac:dyDescent="0.3">
      <c r="B40" s="10">
        <v>36</v>
      </c>
      <c r="C40" s="4" t="s">
        <v>25</v>
      </c>
      <c r="D40" s="4" t="s">
        <v>35</v>
      </c>
      <c r="E40" s="7" t="s">
        <v>27</v>
      </c>
      <c r="F40" s="8" t="s">
        <v>9</v>
      </c>
      <c r="G40" s="5" t="s">
        <v>4</v>
      </c>
      <c r="H40" s="5">
        <f>SUM(ISNUMBER(SEARCH($L$3,Proxy_Data_1[[#This Row],[Topic]])))</f>
        <v>1</v>
      </c>
      <c r="I40">
        <f>SUM(ISNUMBER(SEARCH($L$4,Proxy_Data_1[[#This Row],[Paragraph]])))</f>
        <v>1</v>
      </c>
    </row>
    <row r="41" spans="2:9" x14ac:dyDescent="0.3">
      <c r="B41" s="10">
        <v>37</v>
      </c>
      <c r="C41" s="4" t="s">
        <v>25</v>
      </c>
      <c r="D41" s="4" t="s">
        <v>35</v>
      </c>
      <c r="E41" s="7" t="s">
        <v>28</v>
      </c>
      <c r="F41" s="8" t="s">
        <v>6</v>
      </c>
      <c r="G41" s="5" t="s">
        <v>13</v>
      </c>
      <c r="H41" s="5">
        <f>SUM(ISNUMBER(SEARCH($L$3,Proxy_Data_1[[#This Row],[Topic]])))</f>
        <v>1</v>
      </c>
      <c r="I41">
        <f>SUM(ISNUMBER(SEARCH($L$4,Proxy_Data_1[[#This Row],[Paragraph]])))</f>
        <v>1</v>
      </c>
    </row>
    <row r="42" spans="2:9" ht="57.6" x14ac:dyDescent="0.3">
      <c r="B42" s="10">
        <v>38</v>
      </c>
      <c r="C42" s="4" t="s">
        <v>25</v>
      </c>
      <c r="D42" s="4" t="s">
        <v>35</v>
      </c>
      <c r="E42" s="7" t="s">
        <v>28</v>
      </c>
      <c r="F42" s="8" t="s">
        <v>7</v>
      </c>
      <c r="G42" s="5" t="s">
        <v>14</v>
      </c>
      <c r="H42" s="5">
        <f>SUM(ISNUMBER(SEARCH($L$3,Proxy_Data_1[[#This Row],[Topic]])))</f>
        <v>1</v>
      </c>
      <c r="I42">
        <f>SUM(ISNUMBER(SEARCH($L$4,Proxy_Data_1[[#This Row],[Paragraph]])))</f>
        <v>1</v>
      </c>
    </row>
    <row r="43" spans="2:9" ht="28.8" x14ac:dyDescent="0.3">
      <c r="B43" s="10">
        <v>39</v>
      </c>
      <c r="C43" s="4" t="s">
        <v>25</v>
      </c>
      <c r="D43" s="4" t="s">
        <v>35</v>
      </c>
      <c r="E43" s="7" t="s">
        <v>28</v>
      </c>
      <c r="F43" s="8" t="s">
        <v>8</v>
      </c>
      <c r="G43" s="5" t="s">
        <v>15</v>
      </c>
      <c r="H43" s="5">
        <f>SUM(ISNUMBER(SEARCH($L$3,Proxy_Data_1[[#This Row],[Topic]])))</f>
        <v>1</v>
      </c>
      <c r="I43">
        <f>SUM(ISNUMBER(SEARCH($L$4,Proxy_Data_1[[#This Row],[Paragraph]])))</f>
        <v>1</v>
      </c>
    </row>
    <row r="44" spans="2:9" x14ac:dyDescent="0.3">
      <c r="B44" s="10">
        <v>40</v>
      </c>
      <c r="C44" s="4" t="s">
        <v>25</v>
      </c>
      <c r="D44" s="4" t="s">
        <v>35</v>
      </c>
      <c r="E44" s="7" t="s">
        <v>28</v>
      </c>
      <c r="F44" s="8" t="s">
        <v>9</v>
      </c>
      <c r="G44" s="5" t="s">
        <v>4</v>
      </c>
      <c r="H44" s="5">
        <f>SUM(ISNUMBER(SEARCH($L$3,Proxy_Data_1[[#This Row],[Topic]])))</f>
        <v>1</v>
      </c>
      <c r="I44">
        <f>SUM(ISNUMBER(SEARCH($L$4,Proxy_Data_1[[#This Row],[Paragraph]])))</f>
        <v>1</v>
      </c>
    </row>
    <row r="45" spans="2:9" x14ac:dyDescent="0.3">
      <c r="B45" s="10">
        <v>41</v>
      </c>
      <c r="C45" s="4" t="s">
        <v>25</v>
      </c>
      <c r="D45" s="4" t="s">
        <v>35</v>
      </c>
      <c r="E45" s="7" t="s">
        <v>29</v>
      </c>
      <c r="F45" s="8" t="s">
        <v>6</v>
      </c>
      <c r="G45" s="5" t="s">
        <v>16</v>
      </c>
      <c r="H45" s="5">
        <f>SUM(ISNUMBER(SEARCH($L$3,Proxy_Data_1[[#This Row],[Topic]])))</f>
        <v>1</v>
      </c>
      <c r="I45">
        <f>SUM(ISNUMBER(SEARCH($L$4,Proxy_Data_1[[#This Row],[Paragraph]])))</f>
        <v>1</v>
      </c>
    </row>
    <row r="46" spans="2:9" x14ac:dyDescent="0.3">
      <c r="B46" s="10">
        <v>42</v>
      </c>
      <c r="C46" s="4" t="s">
        <v>25</v>
      </c>
      <c r="D46" s="4" t="s">
        <v>35</v>
      </c>
      <c r="E46" s="7" t="s">
        <v>29</v>
      </c>
      <c r="F46" s="8" t="s">
        <v>7</v>
      </c>
      <c r="G46" s="5" t="s">
        <v>17</v>
      </c>
      <c r="H46" s="5">
        <f>SUM(ISNUMBER(SEARCH($L$3,Proxy_Data_1[[#This Row],[Topic]])))</f>
        <v>1</v>
      </c>
      <c r="I46">
        <f>SUM(ISNUMBER(SEARCH($L$4,Proxy_Data_1[[#This Row],[Paragraph]])))</f>
        <v>1</v>
      </c>
    </row>
    <row r="47" spans="2:9" ht="28.8" x14ac:dyDescent="0.3">
      <c r="B47" s="10">
        <v>43</v>
      </c>
      <c r="C47" s="4" t="s">
        <v>25</v>
      </c>
      <c r="D47" s="4" t="s">
        <v>35</v>
      </c>
      <c r="E47" s="7" t="s">
        <v>29</v>
      </c>
      <c r="F47" s="8" t="s">
        <v>8</v>
      </c>
      <c r="G47" s="5" t="s">
        <v>18</v>
      </c>
      <c r="H47" s="5">
        <f>SUM(ISNUMBER(SEARCH($L$3,Proxy_Data_1[[#This Row],[Topic]])))</f>
        <v>1</v>
      </c>
      <c r="I47">
        <f>SUM(ISNUMBER(SEARCH($L$4,Proxy_Data_1[[#This Row],[Paragraph]])))</f>
        <v>1</v>
      </c>
    </row>
    <row r="48" spans="2:9" x14ac:dyDescent="0.3">
      <c r="B48" s="10">
        <v>44</v>
      </c>
      <c r="C48" s="4" t="s">
        <v>25</v>
      </c>
      <c r="D48" s="4" t="s">
        <v>35</v>
      </c>
      <c r="E48" s="7" t="s">
        <v>29</v>
      </c>
      <c r="F48" s="8" t="s">
        <v>9</v>
      </c>
      <c r="G48" s="5" t="s">
        <v>4</v>
      </c>
      <c r="H48" s="5">
        <f>SUM(ISNUMBER(SEARCH($L$3,Proxy_Data_1[[#This Row],[Topic]])))</f>
        <v>1</v>
      </c>
      <c r="I48">
        <f>SUM(ISNUMBER(SEARCH($L$4,Proxy_Data_1[[#This Row],[Paragraph]])))</f>
        <v>1</v>
      </c>
    </row>
    <row r="49" spans="2:9" x14ac:dyDescent="0.3">
      <c r="B49" s="10">
        <v>45</v>
      </c>
      <c r="C49" s="4" t="s">
        <v>25</v>
      </c>
      <c r="D49" s="4" t="s">
        <v>35</v>
      </c>
      <c r="E49" s="7" t="s">
        <v>30</v>
      </c>
      <c r="F49" s="8" t="s">
        <v>6</v>
      </c>
      <c r="G49" s="5" t="s">
        <v>19</v>
      </c>
      <c r="H49" s="5">
        <f>SUM(ISNUMBER(SEARCH($L$3,Proxy_Data_1[[#This Row],[Topic]])))</f>
        <v>1</v>
      </c>
      <c r="I49">
        <f>SUM(ISNUMBER(SEARCH($L$4,Proxy_Data_1[[#This Row],[Paragraph]])))</f>
        <v>1</v>
      </c>
    </row>
    <row r="50" spans="2:9" ht="57.6" x14ac:dyDescent="0.3">
      <c r="B50" s="10">
        <v>46</v>
      </c>
      <c r="C50" s="4" t="s">
        <v>25</v>
      </c>
      <c r="D50" s="4" t="s">
        <v>35</v>
      </c>
      <c r="E50" s="7" t="s">
        <v>30</v>
      </c>
      <c r="F50" s="8" t="s">
        <v>7</v>
      </c>
      <c r="G50" s="5" t="s">
        <v>20</v>
      </c>
      <c r="H50" s="5">
        <f>SUM(ISNUMBER(SEARCH($L$3,Proxy_Data_1[[#This Row],[Topic]])))</f>
        <v>1</v>
      </c>
      <c r="I50">
        <f>SUM(ISNUMBER(SEARCH($L$4,Proxy_Data_1[[#This Row],[Paragraph]])))</f>
        <v>1</v>
      </c>
    </row>
    <row r="51" spans="2:9" x14ac:dyDescent="0.3">
      <c r="B51" s="10">
        <v>47</v>
      </c>
      <c r="C51" s="4" t="s">
        <v>25</v>
      </c>
      <c r="D51" s="4" t="s">
        <v>35</v>
      </c>
      <c r="E51" s="7" t="s">
        <v>30</v>
      </c>
      <c r="F51" s="8" t="s">
        <v>8</v>
      </c>
      <c r="G51" s="5" t="s">
        <v>21</v>
      </c>
      <c r="H51" s="5">
        <f>SUM(ISNUMBER(SEARCH($L$3,Proxy_Data_1[[#This Row],[Topic]])))</f>
        <v>1</v>
      </c>
      <c r="I51">
        <f>SUM(ISNUMBER(SEARCH($L$4,Proxy_Data_1[[#This Row],[Paragraph]])))</f>
        <v>1</v>
      </c>
    </row>
    <row r="52" spans="2:9" x14ac:dyDescent="0.3">
      <c r="B52" s="10">
        <v>48</v>
      </c>
      <c r="C52" s="4" t="s">
        <v>25</v>
      </c>
      <c r="D52" s="4" t="s">
        <v>35</v>
      </c>
      <c r="E52" s="7" t="s">
        <v>30</v>
      </c>
      <c r="F52" s="8" t="s">
        <v>9</v>
      </c>
      <c r="G52" s="5" t="s">
        <v>5</v>
      </c>
      <c r="H52" s="5">
        <f>SUM(ISNUMBER(SEARCH($L$3,Proxy_Data_1[[#This Row],[Topic]])))</f>
        <v>1</v>
      </c>
      <c r="I52">
        <f>SUM(ISNUMBER(SEARCH($L$4,Proxy_Data_1[[#This Row],[Paragraph]])))</f>
        <v>1</v>
      </c>
    </row>
    <row r="53" spans="2:9" x14ac:dyDescent="0.3">
      <c r="B53" s="10" t="s">
        <v>26</v>
      </c>
      <c r="C53" s="4">
        <f>SUBTOTAL(103,Proxy_Data_1[Document])</f>
        <v>48</v>
      </c>
      <c r="D53" s="4"/>
      <c r="E53" s="5"/>
      <c r="F53" s="4"/>
      <c r="G53" s="5"/>
      <c r="H53" s="5"/>
      <c r="I53">
        <f>SUBTOTAL(109,Proxy_Data_1[Word Search])</f>
        <v>48</v>
      </c>
    </row>
  </sheetData>
  <pageMargins left="0.7" right="0.7" top="0.75" bottom="0.75" header="0.3" footer="0.3"/>
  <pageSetup scale="35" orientation="portrait" r:id="rId1"/>
  <drawing r:id="rId2"/>
  <tableParts count="1">
    <tablePart r:id="rId3"/>
  </tableParts>
  <extLst>
    <ext xmlns:x15="http://schemas.microsoft.com/office/spreadsheetml/2010/11/main" uri="{3A4CF648-6AED-40f4-86FF-DC5316D8AED3}">
      <x14:slicerList xmlns:x14="http://schemas.microsoft.com/office/spreadsheetml/2009/9/main">
        <x14:slicer r:id="rId4"/>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9A65128-EABF-4CDC-A53F-9316482F66D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Proxy_Data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Dominic Becker</dc:creator>
  <cp:lastModifiedBy>Dominic Becker</cp:lastModifiedBy>
  <dcterms:created xsi:type="dcterms:W3CDTF">2025-09-12T22:29:38Z</dcterms:created>
  <dcterms:modified xsi:type="dcterms:W3CDTF">2025-09-13T17:31:02Z</dcterms:modified>
</cp:coreProperties>
</file>